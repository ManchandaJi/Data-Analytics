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c8bd92a42d752852/Desktop/Data Analytics/"/>
    </mc:Choice>
  </mc:AlternateContent>
  <xr:revisionPtr revIDLastSave="229" documentId="8_{D0DD16D5-46F5-4422-94A0-41FE32CDE1DA}" xr6:coauthVersionLast="47" xr6:coauthVersionMax="47" xr10:uidLastSave="{D9DEBA07-A38E-498E-B787-625D1D772554}"/>
  <bookViews>
    <workbookView xWindow="-108" yWindow="-108" windowWidth="23256" windowHeight="12456" xr2:uid="{7EAE80D7-1ED1-4BDD-A741-EACB73CC5617}"/>
  </bookViews>
  <sheets>
    <sheet name="Sheet1" sheetId="1" r:id="rId1"/>
  </sheets>
  <definedNames>
    <definedName name="Slicer_Product">#N/A</definedName>
  </definedNames>
  <calcPr calcId="191029"/>
  <pivotCaches>
    <pivotCache cacheId="6" r:id="rId2"/>
    <pivotCache cacheId="1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tc={BC0B4D47-4301-41B8-97D0-9EDF24F8EC89}</author>
  </authors>
  <commentList>
    <comment ref="D2" authorId="0" shapeId="0" xr:uid="{BC0B4D47-4301-41B8-97D0-9EDF24F8EC89}">
      <text>
        <t>[Threaded comment]
Your version of Excel allows you to read this threaded comment; however, any edits to it will get removed if the file is opened in a newer version of Excel. Learn more: https://go.microsoft.com/fwlink/?linkid=870924
Comment:
    Conditional Formatting</t>
      </text>
    </comment>
  </commentList>
</comments>
</file>

<file path=xl/sharedStrings.xml><?xml version="1.0" encoding="utf-8"?>
<sst xmlns="http://schemas.openxmlformats.org/spreadsheetml/2006/main" count="85" uniqueCount="31">
  <si>
    <t>Date</t>
  </si>
  <si>
    <t>Region</t>
  </si>
  <si>
    <t>Product</t>
  </si>
  <si>
    <t>Sales</t>
  </si>
  <si>
    <t>Quantity</t>
  </si>
  <si>
    <t>West</t>
  </si>
  <si>
    <t>Mangoes</t>
  </si>
  <si>
    <t>South</t>
  </si>
  <si>
    <t>Oranges</t>
  </si>
  <si>
    <t>Apples</t>
  </si>
  <si>
    <t>East</t>
  </si>
  <si>
    <t>North</t>
  </si>
  <si>
    <t>Sum of Sales</t>
  </si>
  <si>
    <t>Grand Total</t>
  </si>
  <si>
    <t>Total Sales By Region</t>
  </si>
  <si>
    <t>Row Labels</t>
  </si>
  <si>
    <t>Jan</t>
  </si>
  <si>
    <t>Feb</t>
  </si>
  <si>
    <t>Mar</t>
  </si>
  <si>
    <t>Apr</t>
  </si>
  <si>
    <t>May</t>
  </si>
  <si>
    <t>Jun</t>
  </si>
  <si>
    <t>Answer 2</t>
  </si>
  <si>
    <t>Answer 5</t>
  </si>
  <si>
    <t>Pivot Chart Monthly Sales</t>
  </si>
  <si>
    <t>Answer 9</t>
  </si>
  <si>
    <t>Average Sales per month</t>
  </si>
  <si>
    <t>Category</t>
  </si>
  <si>
    <t>Fruits</t>
  </si>
  <si>
    <t>Sales of Fruits</t>
  </si>
  <si>
    <t>Answer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</si>
</sst>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b/>
      <sz val="14"/>
      <color theme="0"/>
      <name val="Aptos Narrow"/>
      <family val="2"/>
      <scheme val="minor"/>
    </font>
    <font>
      <sz val="9"/>
      <color indexed="81"/>
      <name val="Tahoma"/>
      <family val="2"/>
    </font>
  </fonts>
  <fills count="4">
    <fill>
      <patternFill patternType="none"/>
    </fill>
    <fill>
      <patternFill patternType="gray125"/>
    </fill>
    <fill>
      <patternFill patternType="solid">
        <fgColor theme="5" tint="-0.249977111117893"/>
        <bgColor indexed="64"/>
      </patternFill>
    </fill>
    <fill>
      <patternFill patternType="solid">
        <fgColor rgb="FFFFFF0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4" xfId="0" applyBorder="1" applyAlignment="1">
      <alignment horizontal="center" vertical="center"/>
    </xf>
    <xf numFmtId="0" fontId="1" fillId="0" borderId="4" xfId="0" applyFont="1" applyBorder="1" applyAlignment="1">
      <alignment horizontal="center" vertical="center"/>
    </xf>
    <xf numFmtId="0" fontId="1" fillId="0" borderId="4" xfId="0" pivotButton="1" applyFont="1" applyBorder="1" applyAlignment="1">
      <alignment horizontal="center" vertical="center"/>
    </xf>
    <xf numFmtId="0" fontId="1" fillId="0" borderId="4" xfId="0" applyFont="1" applyBorder="1" applyAlignment="1">
      <alignment horizontal="left"/>
    </xf>
    <xf numFmtId="0" fontId="4" fillId="2" borderId="4" xfId="0" applyFont="1" applyFill="1" applyBorder="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2" fillId="0" borderId="1" xfId="0" applyFont="1" applyBorder="1" applyAlignment="1">
      <alignment horizontal="center" vertical="top"/>
    </xf>
    <xf numFmtId="0" fontId="2" fillId="0" borderId="2" xfId="0" applyFont="1" applyBorder="1" applyAlignment="1">
      <alignment horizontal="center" vertical="top"/>
    </xf>
    <xf numFmtId="0" fontId="2" fillId="0" borderId="0" xfId="0" applyFont="1" applyBorder="1" applyAlignment="1">
      <alignment horizontal="center" vertical="top"/>
    </xf>
    <xf numFmtId="0" fontId="2" fillId="0" borderId="0" xfId="0" applyFont="1" applyAlignment="1">
      <alignment horizontal="center" vertical="top"/>
    </xf>
    <xf numFmtId="0" fontId="0" fillId="0" borderId="0" xfId="0" applyAlignment="1"/>
    <xf numFmtId="22" fontId="3" fillId="0" borderId="3" xfId="0" applyNumberFormat="1" applyFont="1" applyBorder="1" applyAlignment="1">
      <alignment horizontal="right"/>
    </xf>
    <xf numFmtId="0" fontId="3" fillId="0" borderId="3" xfId="0" applyFont="1" applyBorder="1" applyAlignment="1"/>
    <xf numFmtId="0" fontId="3" fillId="0" borderId="3" xfId="0" applyFont="1" applyBorder="1" applyAlignment="1">
      <alignment horizontal="right"/>
    </xf>
    <xf numFmtId="0" fontId="3" fillId="0" borderId="0" xfId="0" applyFont="1" applyBorder="1" applyAlignment="1">
      <alignment horizontal="right"/>
    </xf>
    <xf numFmtId="0" fontId="3" fillId="0" borderId="0" xfId="0" applyFont="1" applyAlignment="1">
      <alignment horizontal="right"/>
    </xf>
    <xf numFmtId="0" fontId="1" fillId="3" borderId="0" xfId="0" applyFont="1" applyFill="1" applyAlignment="1"/>
    <xf numFmtId="0" fontId="1" fillId="0" borderId="4" xfId="0" pivotButton="1" applyFont="1" applyBorder="1" applyAlignment="1"/>
    <xf numFmtId="0" fontId="1" fillId="0" borderId="4" xfId="0" applyFont="1" applyBorder="1" applyAlignment="1"/>
    <xf numFmtId="0" fontId="1" fillId="0" borderId="0" xfId="0" applyFont="1" applyAlignment="1"/>
    <xf numFmtId="0" fontId="0" fillId="0" borderId="0" xfId="0" pivotButton="1" applyAlignment="1"/>
    <xf numFmtId="10" fontId="0" fillId="0" borderId="0" xfId="0" applyNumberFormat="1" applyAlignment="1"/>
  </cellXfs>
  <cellStyles count="1">
    <cellStyle name="Normal" xfId="0" builtinId="0"/>
  </cellStyles>
  <dxfs count="64">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color rgb="FF006100"/>
      </font>
      <fill>
        <patternFill>
          <bgColor rgb="FFC6EFCE"/>
        </patternFill>
      </fill>
    </dxf>
    <dxf>
      <font>
        <b/>
      </font>
    </dxf>
    <dxf>
      <font>
        <b/>
      </font>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2.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[Pivot table assignment.xlsx]Sheet1!PivotTable2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Sheet1!$I$20:$I$26</c:f>
              <c:strCache>
                <c:ptCount val="6"/>
                <c:pt idx="0">
                  <c:v>Jan</c:v>
                </c:pt>
                <c:pt idx="1">
                  <c:v>Feb</c:v>
                </c:pt>
                <c:pt idx="2">
                  <c:v>Mar</c:v>
                </c:pt>
                <c:pt idx="3">
                  <c:v>Apr</c:v>
                </c:pt>
                <c:pt idx="4">
                  <c:v>May</c:v>
                </c:pt>
                <c:pt idx="5">
                  <c:v>Jun</c:v>
                </c:pt>
              </c:strCache>
            </c:strRef>
          </c:cat>
          <c:val>
            <c:numRef>
              <c:f>Sheet1!$J$20:$J$26</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13F3-46ED-84D5-F0CD3E114045}"/>
            </c:ext>
          </c:extLst>
        </c:ser>
        <c:dLbls>
          <c:showLegendKey val="0"/>
          <c:showVal val="0"/>
          <c:showCatName val="0"/>
          <c:showSerName val="0"/>
          <c:showPercent val="0"/>
          <c:showBubbleSize val="0"/>
        </c:dLbls>
        <c:gapWidth val="100"/>
        <c:overlap val="-24"/>
        <c:axId val="346418671"/>
        <c:axId val="346419151"/>
      </c:barChart>
      <c:catAx>
        <c:axId val="3464186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6419151"/>
        <c:crosses val="autoZero"/>
        <c:auto val="1"/>
        <c:lblAlgn val="ctr"/>
        <c:lblOffset val="100"/>
        <c:noMultiLvlLbl val="0"/>
      </c:catAx>
      <c:valAx>
        <c:axId val="3464191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641867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[Pivot table assignment.xlsx]Sheet1!PivotTable1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Regional</a:t>
            </a:r>
            <a:r>
              <a:rPr lang="en-US" baseline="0"/>
              <a:t>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Sheet1!$I$5:$I$9</c:f>
              <c:strCache>
                <c:ptCount val="4"/>
                <c:pt idx="0">
                  <c:v>West</c:v>
                </c:pt>
                <c:pt idx="1">
                  <c:v>South</c:v>
                </c:pt>
                <c:pt idx="2">
                  <c:v>East</c:v>
                </c:pt>
                <c:pt idx="3">
                  <c:v>North</c:v>
                </c:pt>
              </c:strCache>
            </c:strRef>
          </c:cat>
          <c:val>
            <c:numRef>
              <c:f>Sheet1!$J$5:$J$9</c:f>
              <c:numCache>
                <c:formatCode>General</c:formatCode>
                <c:ptCount val="4"/>
                <c:pt idx="0">
                  <c:v>3497</c:v>
                </c:pt>
                <c:pt idx="1">
                  <c:v>2518</c:v>
                </c:pt>
                <c:pt idx="2">
                  <c:v>467</c:v>
                </c:pt>
                <c:pt idx="3">
                  <c:v>347</c:v>
                </c:pt>
              </c:numCache>
            </c:numRef>
          </c:val>
          <c:extLst>
            <c:ext xmlns:c16="http://schemas.microsoft.com/office/drawing/2014/chart" uri="{C3380CC4-5D6E-409C-BE32-E72D297353CC}">
              <c16:uniqueId val="{00000000-8896-4C67-AF44-CC4D70CC711C}"/>
            </c:ext>
          </c:extLst>
        </c:ser>
        <c:dLbls>
          <c:showLegendKey val="0"/>
          <c:showVal val="0"/>
          <c:showCatName val="0"/>
          <c:showSerName val="0"/>
          <c:showPercent val="0"/>
          <c:showBubbleSize val="0"/>
        </c:dLbls>
        <c:gapWidth val="100"/>
        <c:overlap val="-24"/>
        <c:axId val="384087775"/>
        <c:axId val="384084415"/>
      </c:barChart>
      <c:catAx>
        <c:axId val="3840877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084415"/>
        <c:crosses val="autoZero"/>
        <c:auto val="1"/>
        <c:lblAlgn val="ctr"/>
        <c:lblOffset val="100"/>
        <c:noMultiLvlLbl val="0"/>
      </c:catAx>
      <c:valAx>
        <c:axId val="3840844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408777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7620</xdr:colOff>
      <xdr:row>17</xdr:row>
      <xdr:rowOff>186690</xdr:rowOff>
    </xdr:from>
    <xdr:to>
      <xdr:col>18</xdr:col>
      <xdr:colOff>274320</xdr:colOff>
      <xdr:row>32</xdr:row>
      <xdr:rowOff>87630</xdr:rowOff>
    </xdr:to>
    <xdr:graphicFrame macro="">
      <xdr:nvGraphicFramePr>
        <xdr:cNvPr id="2" name="Chart 1">
          <a:extLst>
            <a:ext uri="{FF2B5EF4-FFF2-40B4-BE49-F238E27FC236}">
              <a16:creationId xmlns:a16="http://schemas.microsoft.com/office/drawing/2014/main" id="{006BC443-1915-D483-2A47-B1C6204F4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7620</xdr:colOff>
      <xdr:row>26</xdr:row>
      <xdr:rowOff>7620</xdr:rowOff>
    </xdr:from>
    <xdr:to>
      <xdr:col>10</xdr:col>
      <xdr:colOff>129540</xdr:colOff>
      <xdr:row>32</xdr:row>
      <xdr:rowOff>114299</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AC5E56FC-FFB5-8A67-ACE0-BA0FF8C4B34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221480" y="4968240"/>
              <a:ext cx="163830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7620</xdr:colOff>
      <xdr:row>2</xdr:row>
      <xdr:rowOff>179070</xdr:rowOff>
    </xdr:from>
    <xdr:to>
      <xdr:col>18</xdr:col>
      <xdr:colOff>274320</xdr:colOff>
      <xdr:row>17</xdr:row>
      <xdr:rowOff>64770</xdr:rowOff>
    </xdr:to>
    <xdr:graphicFrame macro="">
      <xdr:nvGraphicFramePr>
        <xdr:cNvPr id="5" name="Chart 4">
          <a:extLst>
            <a:ext uri="{FF2B5EF4-FFF2-40B4-BE49-F238E27FC236}">
              <a16:creationId xmlns:a16="http://schemas.microsoft.com/office/drawing/2014/main" id="{68C9F5AE-F515-5547-1D14-5D4DCF587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hivam Manchanda" id="{4C6B4249-5075-4EB5-B853-1D4019077B92}" userId="c8bd92a42d752852"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Manchanda" refreshedDate="45976.905601736114" createdVersion="8" refreshedVersion="8" minRefreshableVersion="3" recordCount="20" xr:uid="{7C8A6746-D40D-45D8-A17E-7825DF253226}">
  <cacheSource type="worksheet">
    <worksheetSource ref="A1:E21" sheet="Sheet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4688205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Manchanda" refreshedDate="45988.015142708333" createdVersion="8" refreshedVersion="8" minRefreshableVersion="3" recordCount="20" xr:uid="{7852D92F-6D85-4946-8609-989F419BD474}">
  <cacheSource type="worksheet">
    <worksheetSource ref="A1:F21" sheet="Sheet1"/>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Category" numFmtId="0">
      <sharedItems count="3">
        <s v="Mangoes"/>
        <s v="Oranges"/>
        <s v="Fruit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s v="Mangoes"/>
    <n v="456"/>
    <n v="93"/>
    <x v="0"/>
  </r>
  <r>
    <d v="2024-01-10T12:37:54"/>
    <s v="South"/>
    <s v="Oranges"/>
    <n v="348"/>
    <n v="56"/>
    <x v="1"/>
  </r>
  <r>
    <d v="2024-01-20T01:15:47"/>
    <s v="South"/>
    <s v="Mangoes"/>
    <n v="247"/>
    <n v="76"/>
    <x v="0"/>
  </r>
  <r>
    <d v="2024-01-29T13:53:41"/>
    <s v="West"/>
    <s v="Apples"/>
    <n v="230"/>
    <n v="37"/>
    <x v="2"/>
  </r>
  <r>
    <d v="2024-02-08T02:31:35"/>
    <s v="West"/>
    <s v="Mangoes"/>
    <n v="281"/>
    <n v="50"/>
    <x v="0"/>
  </r>
  <r>
    <d v="2024-02-17T15:09:28"/>
    <s v="West"/>
    <s v="Oranges"/>
    <n v="334"/>
    <n v="52"/>
    <x v="1"/>
  </r>
  <r>
    <d v="2024-02-27T03:47:22"/>
    <s v="South"/>
    <s v="Apples"/>
    <n v="417"/>
    <n v="29"/>
    <x v="2"/>
  </r>
  <r>
    <d v="2024-03-07T16:25:16"/>
    <s v="West"/>
    <s v="Apples"/>
    <n v="441"/>
    <n v="44"/>
    <x v="2"/>
  </r>
  <r>
    <d v="2024-03-17T05:03:09"/>
    <s v="South"/>
    <s v="Mangoes"/>
    <n v="76"/>
    <n v="63"/>
    <x v="0"/>
  </r>
  <r>
    <d v="2024-03-26T17:41:03"/>
    <s v="West"/>
    <s v="Oranges"/>
    <n v="441"/>
    <n v="79"/>
    <x v="1"/>
  </r>
  <r>
    <d v="2024-04-05T06:18:57"/>
    <s v="South"/>
    <s v="Mangoes"/>
    <n v="205"/>
    <n v="23"/>
    <x v="0"/>
  </r>
  <r>
    <d v="2024-04-14T18:56:51"/>
    <s v="West"/>
    <s v="Oranges"/>
    <n v="483"/>
    <n v="97"/>
    <x v="1"/>
  </r>
  <r>
    <d v="2024-04-24T07:34:44"/>
    <s v="East"/>
    <s v="Mangoes"/>
    <n v="467"/>
    <n v="97"/>
    <x v="0"/>
  </r>
  <r>
    <d v="2024-05-03T20:12:38"/>
    <s v="West"/>
    <s v="Mangoes"/>
    <n v="380"/>
    <n v="92"/>
    <x v="0"/>
  </r>
  <r>
    <d v="2024-05-13T08:50:32"/>
    <s v="South"/>
    <s v="Oranges"/>
    <n v="497"/>
    <n v="71"/>
    <x v="1"/>
  </r>
  <r>
    <d v="2024-05-22T21:28:25"/>
    <s v="South"/>
    <s v="Mangoes"/>
    <n v="409"/>
    <n v="81"/>
    <x v="0"/>
  </r>
  <r>
    <d v="2024-06-01T10:06:19"/>
    <s v="West"/>
    <s v="Oranges"/>
    <n v="53"/>
    <n v="45"/>
    <x v="1"/>
  </r>
  <r>
    <d v="2024-06-10T22:44:13"/>
    <s v="West"/>
    <s v="Apples"/>
    <n v="398"/>
    <n v="33"/>
    <x v="2"/>
  </r>
  <r>
    <d v="2024-06-20T11:22:06"/>
    <s v="North"/>
    <s v="Oranges"/>
    <n v="347"/>
    <n v="35"/>
    <x v="1"/>
  </r>
  <r>
    <d v="2024-06-30T00:00:00"/>
    <s v="South"/>
    <s v="Apples"/>
    <n v="319"/>
    <n v="4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CA4974-09FE-49AF-87FD-54EAD5C1E92C}"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7:X21" firstHeaderRow="1" firstDataRow="1" firstDataCol="1"/>
  <pivotFields count="6">
    <pivotField numFmtId="22" showAll="0"/>
    <pivotField showAll="0"/>
    <pivotField showAll="0"/>
    <pivotField dataField="1" showAll="0"/>
    <pivotField showAll="0"/>
    <pivotField axis="axisRow" showAll="0">
      <items count="4">
        <item x="2"/>
        <item x="0"/>
        <item x="1"/>
        <item t="default"/>
      </items>
    </pivotField>
  </pivotFields>
  <rowFields count="1">
    <field x="5"/>
  </rowFields>
  <rowItems count="4">
    <i>
      <x/>
    </i>
    <i>
      <x v="1"/>
    </i>
    <i>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4B53EC-B755-40C3-AC31-8E328041A106}"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X11"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sortType="descending" defaultSubtotal="0">
      <items count="14">
        <item sd="0" x="0"/>
        <item sd="0" x="1"/>
        <item sd="0" x="2"/>
        <item sd="0" x="3"/>
        <item sd="0" x="4"/>
        <item sd="0" x="5"/>
        <item sd="0" x="6"/>
        <item sd="0" x="7"/>
        <item sd="0" x="8"/>
        <item sd="0" x="9"/>
        <item sd="0" x="10"/>
        <item sd="0" x="11"/>
        <item sd="0" x="12"/>
        <item sd="0" x="13"/>
      </items>
      <autoSortScope>
        <pivotArea dataOnly="0" outline="0" fieldPosition="0">
          <references count="1">
            <reference field="4294967294" count="1" selected="0">
              <x v="0"/>
            </reference>
          </references>
        </pivotArea>
      </autoSortScope>
    </pivotField>
  </pivotFields>
  <rowFields count="2">
    <field x="6"/>
    <field x="5"/>
  </rowFields>
  <rowItems count="7">
    <i>
      <x v="5"/>
    </i>
    <i>
      <x v="1"/>
    </i>
    <i>
      <x v="4"/>
    </i>
    <i>
      <x v="6"/>
    </i>
    <i>
      <x v="2"/>
    </i>
    <i>
      <x v="3"/>
    </i>
    <i t="grand">
      <x/>
    </i>
  </rowItems>
  <colItems count="1">
    <i/>
  </colItems>
  <dataFields count="1">
    <dataField name="Sum of Sales" fld="3" showDataAs="percentOfTotal" baseField="6" baseItem="1" numFmtId="10"/>
  </dataFields>
  <formats count="6">
    <format dxfId="20">
      <pivotArea type="all" dataOnly="0" outline="0" fieldPosition="0"/>
    </format>
    <format dxfId="19">
      <pivotArea outline="0" collapsedLevelsAreSubtotals="1" fieldPosition="0"/>
    </format>
    <format dxfId="18">
      <pivotArea field="6" type="button" dataOnly="0" labelOnly="1" outline="0" axis="axisRow" fieldPosition="0"/>
    </format>
    <format dxfId="17">
      <pivotArea dataOnly="0" labelOnly="1" fieldPosition="0">
        <references count="1">
          <reference field="6" count="6">
            <x v="1"/>
            <x v="2"/>
            <x v="3"/>
            <x v="4"/>
            <x v="5"/>
            <x v="6"/>
          </reference>
        </references>
      </pivotArea>
    </format>
    <format dxfId="16">
      <pivotArea dataOnly="0" labelOnly="1" grandRow="1" outline="0"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55DA2E-4D77-4817-8D9A-0F042F568639}"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9:J26"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h="1" sd="0" x="0"/>
        <item sd="0" x="1"/>
        <item sd="0" x="2"/>
        <item sd="0" x="3"/>
        <item sd="0" x="4"/>
        <item sd="0" x="5"/>
        <item sd="0" x="6"/>
        <item sd="0" x="7"/>
        <item sd="0" x="8"/>
        <item sd="0" x="9"/>
        <item sd="0" x="10"/>
        <item sd="0" x="11"/>
        <item sd="0" x="12"/>
        <item h="1" sd="0" x="13"/>
        <item t="default" sd="0"/>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formats count="33">
    <format dxfId="48">
      <pivotArea type="all" dataOnly="0" outline="0" fieldPosition="0"/>
    </format>
    <format dxfId="47">
      <pivotArea outline="0" collapsedLevelsAreSubtotals="1" fieldPosition="0"/>
    </format>
    <format dxfId="46">
      <pivotArea field="6" type="button" dataOnly="0" labelOnly="1" outline="0" axis="axisRow" fieldPosition="0"/>
    </format>
    <format dxfId="45">
      <pivotArea dataOnly="0" labelOnly="1" fieldPosition="0">
        <references count="1">
          <reference field="6" count="6">
            <x v="1"/>
            <x v="2"/>
            <x v="3"/>
            <x v="4"/>
            <x v="5"/>
            <x v="6"/>
          </reference>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6" type="button" dataOnly="0" labelOnly="1" outline="0" axis="axisRow" fieldPosition="0"/>
    </format>
    <format dxfId="39">
      <pivotArea dataOnly="0" labelOnly="1" fieldPosition="0">
        <references count="1">
          <reference field="6" count="6">
            <x v="1"/>
            <x v="2"/>
            <x v="3"/>
            <x v="4"/>
            <x v="5"/>
            <x v="6"/>
          </reference>
        </references>
      </pivotArea>
    </format>
    <format dxfId="38">
      <pivotArea dataOnly="0" labelOnly="1" grandRow="1"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6" type="button" dataOnly="0" labelOnly="1" outline="0" axis="axisRow" fieldPosition="0"/>
    </format>
    <format dxfId="33">
      <pivotArea dataOnly="0" labelOnly="1" fieldPosition="0">
        <references count="1">
          <reference field="6" count="6">
            <x v="1"/>
            <x v="2"/>
            <x v="3"/>
            <x v="4"/>
            <x v="5"/>
            <x v="6"/>
          </reference>
        </references>
      </pivotArea>
    </format>
    <format dxfId="32">
      <pivotArea dataOnly="0" labelOnly="1" grandRow="1" outline="0" fieldPosition="0"/>
    </format>
    <format dxfId="31">
      <pivotArea dataOnly="0" labelOnly="1" outline="0" axis="axisValues" fieldPosition="0"/>
    </format>
    <format dxfId="30">
      <pivotArea collapsedLevelsAreSubtotals="1" fieldPosition="0">
        <references count="1">
          <reference field="6" count="1">
            <x v="1"/>
          </reference>
        </references>
      </pivotArea>
    </format>
    <format dxfId="29">
      <pivotArea collapsedLevelsAreSubtotals="1" fieldPosition="0">
        <references count="1">
          <reference field="6" count="1">
            <x v="2"/>
          </reference>
        </references>
      </pivotArea>
    </format>
    <format dxfId="28">
      <pivotArea collapsedLevelsAreSubtotals="1" fieldPosition="0">
        <references count="1">
          <reference field="6" count="1">
            <x v="3"/>
          </reference>
        </references>
      </pivotArea>
    </format>
    <format dxfId="27">
      <pivotArea collapsedLevelsAreSubtotals="1" fieldPosition="0">
        <references count="1">
          <reference field="6" count="1">
            <x v="4"/>
          </reference>
        </references>
      </pivotArea>
    </format>
    <format dxfId="26">
      <pivotArea collapsedLevelsAreSubtotals="1" fieldPosition="0">
        <references count="1">
          <reference field="6" count="1">
            <x v="5"/>
          </reference>
        </references>
      </pivotArea>
    </format>
    <format dxfId="25">
      <pivotArea collapsedLevelsAreSubtotals="1" fieldPosition="0">
        <references count="1">
          <reference field="6" count="1">
            <x v="6"/>
          </reference>
        </references>
      </pivotArea>
    </format>
    <format dxfId="24">
      <pivotArea dataOnly="0" labelOnly="1" fieldPosition="0">
        <references count="1">
          <reference field="6" count="6">
            <x v="1"/>
            <x v="2"/>
            <x v="3"/>
            <x v="4"/>
            <x v="5"/>
            <x v="6"/>
          </reference>
        </references>
      </pivotArea>
    </format>
    <format dxfId="23">
      <pivotArea field="6" type="button" dataOnly="0" labelOnly="1" outline="0" axis="axisRow" fieldPosition="0"/>
    </format>
    <format dxfId="22">
      <pivotArea dataOnly="0" labelOnly="1" outline="0" axis="axisValues" fieldPosition="0"/>
    </format>
    <format dxfId="13">
      <pivotArea type="all" dataOnly="0" outline="0" fieldPosition="0"/>
    </format>
    <format dxfId="12">
      <pivotArea outline="0" collapsedLevelsAreSubtotals="1" fieldPosition="0"/>
    </format>
    <format dxfId="11">
      <pivotArea field="6" type="button" dataOnly="0" labelOnly="1" outline="0" axis="axisRow" fieldPosition="0"/>
    </format>
    <format dxfId="10">
      <pivotArea dataOnly="0" labelOnly="1" fieldPosition="0">
        <references count="1">
          <reference field="6" count="6">
            <x v="1"/>
            <x v="2"/>
            <x v="3"/>
            <x v="4"/>
            <x v="5"/>
            <x v="6"/>
          </reference>
        </references>
      </pivotArea>
    </format>
    <format dxfId="9">
      <pivotArea dataOnly="0" labelOnly="1" grandRow="1" outline="0" fieldPosition="0"/>
    </format>
    <format dxfId="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8FA363-3B3D-4337-B640-6B63FE94BF20}"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4:J9"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v="3"/>
    </i>
    <i>
      <x v="2"/>
    </i>
    <i>
      <x/>
    </i>
    <i>
      <x v="1"/>
    </i>
    <i t="grand">
      <x/>
    </i>
  </rowItems>
  <colItems count="1">
    <i/>
  </colItems>
  <dataFields count="1">
    <dataField name="Sum of Sales" fld="3" baseField="0" baseItem="0"/>
  </dataFields>
  <formats count="21">
    <format dxfId="63">
      <pivotArea type="all" dataOnly="0" outline="0" fieldPosition="0"/>
    </format>
    <format dxfId="62">
      <pivotArea outline="0" collapsedLevelsAreSubtotals="1" fieldPosition="0"/>
    </format>
    <format dxfId="61">
      <pivotArea type="origin" dataOnly="0" labelOnly="1" outline="0" offset="A1" fieldPosition="0"/>
    </format>
    <format dxfId="60">
      <pivotArea dataOnly="0" labelOnly="1" outline="0" axis="axisValues" fieldPosition="0"/>
    </format>
    <format dxfId="59">
      <pivotArea field="1" type="button" dataOnly="0" labelOnly="1" outline="0" axis="axisRow" fieldPosition="0"/>
    </format>
    <format dxfId="58">
      <pivotArea type="topRight" dataOnly="0" labelOnly="1" outline="0" fieldPosition="0"/>
    </format>
    <format dxfId="57">
      <pivotArea type="origin" dataOnly="0" labelOnly="1" outline="0" offset="A2" fieldPosition="0"/>
    </format>
    <format dxfId="56">
      <pivotArea dataOnly="0" labelOnly="1" fieldPosition="0">
        <references count="1">
          <reference field="1" count="0"/>
        </references>
      </pivotArea>
    </format>
    <format dxfId="55">
      <pivotArea dataOnly="0" labelOnly="1" grandCol="1" outline="0" fieldPosition="0"/>
    </format>
    <format dxfId="54">
      <pivotArea dataOnly="0" labelOnly="1" outline="0" axis="axisValues" fieldPosition="0"/>
    </format>
    <format dxfId="53">
      <pivotArea dataOnly="0" labelOnly="1" grandCol="1" outline="0" fieldPosition="0"/>
    </format>
    <format dxfId="52">
      <pivotArea outline="0" collapsedLevelsAreSubtotals="1" fieldPosition="0"/>
    </format>
    <format dxfId="51">
      <pivotArea dataOnly="0" labelOnly="1" fieldPosition="0">
        <references count="1">
          <reference field="1" count="0"/>
        </references>
      </pivotArea>
    </format>
    <format dxfId="50">
      <pivotArea dataOnly="0" labelOnly="1" grandRow="1" outline="0" fieldPosition="0"/>
    </format>
    <format dxfId="49">
      <pivotArea field="1" type="button" dataOnly="0" labelOnly="1" outline="0" axis="axisRow" fieldPosition="0"/>
    </format>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axis="axisValues" fieldPosition="0"/>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D27DB4E-C5D6-4BA0-A9C8-6151F68AFCE5}" sourceName="Product">
  <pivotTables>
    <pivotTable tabId="1" name="PivotTable2"/>
  </pivotTables>
  <data>
    <tabular pivotCacheId="146882058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8DF666B-7685-4A10-826B-67DB41348030}" cache="Slicer_Product" caption="Produc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 dT="2025-11-26T18:53:08.13" personId="{4C6B4249-5075-4EB5-B853-1D4019077B92}" id="{BC0B4D47-4301-41B8-97D0-9EDF24F8EC89}">
    <text>Conditional Formatting</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ivotTable" Target="../pivotTables/pivotTable4.xml"/><Relationship Id="rId9"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A974A-8EB5-4164-8936-124A4B3FAC5E}">
  <dimension ref="A1:Y34"/>
  <sheetViews>
    <sheetView tabSelected="1" workbookViewId="0">
      <selection activeCell="H11" sqref="H11"/>
    </sheetView>
  </sheetViews>
  <sheetFormatPr defaultRowHeight="14.4" x14ac:dyDescent="0.3"/>
  <cols>
    <col min="1" max="1" width="15.44140625" style="14" bestFit="1" customWidth="1"/>
    <col min="2" max="2" width="6.77734375" style="14" bestFit="1" customWidth="1"/>
    <col min="3" max="3" width="8.44140625" style="14" bestFit="1" customWidth="1"/>
    <col min="4" max="4" width="5.21875" style="14" bestFit="1" customWidth="1"/>
    <col min="5" max="5" width="8.33203125" style="14" bestFit="1" customWidth="1"/>
    <col min="6" max="6" width="8.5546875" style="14" bestFit="1" customWidth="1"/>
    <col min="7" max="7" width="8.33203125" style="14" customWidth="1"/>
    <col min="8" max="8" width="8.33203125" style="14" bestFit="1" customWidth="1"/>
    <col min="9" max="9" width="10.5546875" style="14" bestFit="1" customWidth="1"/>
    <col min="10" max="10" width="11.5546875" style="14" bestFit="1" customWidth="1"/>
    <col min="11" max="11" width="5.6640625" style="14" bestFit="1" customWidth="1"/>
    <col min="12" max="12" width="5.77734375" style="14" bestFit="1" customWidth="1"/>
    <col min="13" max="13" width="5.21875" style="14" bestFit="1" customWidth="1"/>
    <col min="14" max="14" width="10.5546875" style="14" bestFit="1" customWidth="1"/>
    <col min="15" max="21" width="8.88671875" style="14"/>
    <col min="22" max="22" width="9" style="14" customWidth="1"/>
    <col min="23" max="23" width="16.5546875" style="14" customWidth="1"/>
    <col min="24" max="24" width="12.109375" style="14" customWidth="1"/>
    <col min="25" max="16384" width="8.88671875" style="14"/>
  </cols>
  <sheetData>
    <row r="1" spans="1:24" ht="15" thickBot="1" x14ac:dyDescent="0.35">
      <c r="A1" s="10" t="s">
        <v>0</v>
      </c>
      <c r="B1" s="11" t="s">
        <v>1</v>
      </c>
      <c r="C1" s="11" t="s">
        <v>2</v>
      </c>
      <c r="D1" s="11" t="s">
        <v>3</v>
      </c>
      <c r="E1" s="11" t="s">
        <v>4</v>
      </c>
      <c r="F1" s="12" t="s">
        <v>27</v>
      </c>
      <c r="G1" s="13"/>
    </row>
    <row r="2" spans="1:24" ht="18.600000000000001" thickBot="1" x14ac:dyDescent="0.4">
      <c r="A2" s="15">
        <v>45292</v>
      </c>
      <c r="B2" s="16" t="s">
        <v>5</v>
      </c>
      <c r="C2" s="16" t="s">
        <v>6</v>
      </c>
      <c r="D2" s="17">
        <v>456</v>
      </c>
      <c r="E2" s="17">
        <v>93</v>
      </c>
      <c r="F2" s="18" t="str">
        <f>IF(OR(C2="Apples","Oranges"),"Fruits",C2)</f>
        <v>Mangoes</v>
      </c>
      <c r="G2" s="19"/>
      <c r="H2" s="20" t="s">
        <v>22</v>
      </c>
      <c r="I2" s="5" t="s">
        <v>14</v>
      </c>
      <c r="J2" s="5"/>
      <c r="V2" s="20" t="s">
        <v>25</v>
      </c>
      <c r="W2" s="5" t="s">
        <v>26</v>
      </c>
      <c r="X2" s="5"/>
    </row>
    <row r="3" spans="1:24" ht="15" thickBot="1" x14ac:dyDescent="0.35">
      <c r="A3" s="15">
        <v>45301.526319444441</v>
      </c>
      <c r="B3" s="16" t="s">
        <v>7</v>
      </c>
      <c r="C3" s="16" t="s">
        <v>8</v>
      </c>
      <c r="D3" s="17">
        <v>348</v>
      </c>
      <c r="E3" s="17">
        <v>56</v>
      </c>
      <c r="F3" s="18" t="str">
        <f t="shared" ref="F3:F21" si="0">IF(OR(C3="Apples","Oranges"),"Fruits",C3)</f>
        <v>Oranges</v>
      </c>
      <c r="G3" s="19"/>
    </row>
    <row r="4" spans="1:24" ht="15" thickBot="1" x14ac:dyDescent="0.35">
      <c r="A4" s="15">
        <v>45311.052627314813</v>
      </c>
      <c r="B4" s="16" t="s">
        <v>7</v>
      </c>
      <c r="C4" s="16" t="s">
        <v>6</v>
      </c>
      <c r="D4" s="17">
        <v>247</v>
      </c>
      <c r="E4" s="17">
        <v>76</v>
      </c>
      <c r="F4" s="18" t="str">
        <f t="shared" si="0"/>
        <v>Mangoes</v>
      </c>
      <c r="G4" s="19"/>
      <c r="I4" s="21" t="s">
        <v>15</v>
      </c>
      <c r="J4" s="22" t="s">
        <v>12</v>
      </c>
      <c r="V4" s="23"/>
      <c r="W4" s="24" t="s">
        <v>15</v>
      </c>
      <c r="X4" s="14" t="s">
        <v>12</v>
      </c>
    </row>
    <row r="5" spans="1:24" ht="15" thickBot="1" x14ac:dyDescent="0.35">
      <c r="A5" s="15">
        <v>45320.578946759262</v>
      </c>
      <c r="B5" s="16" t="s">
        <v>5</v>
      </c>
      <c r="C5" s="16" t="s">
        <v>9</v>
      </c>
      <c r="D5" s="17">
        <v>230</v>
      </c>
      <c r="E5" s="17">
        <v>37</v>
      </c>
      <c r="F5" s="18" t="str">
        <f t="shared" si="0"/>
        <v>Fruits</v>
      </c>
      <c r="G5" s="19"/>
      <c r="I5" s="4" t="s">
        <v>5</v>
      </c>
      <c r="J5" s="22">
        <v>3497</v>
      </c>
      <c r="W5" s="8" t="s">
        <v>20</v>
      </c>
      <c r="X5" s="25">
        <v>0.18831454092839361</v>
      </c>
    </row>
    <row r="6" spans="1:24" ht="15" thickBot="1" x14ac:dyDescent="0.35">
      <c r="A6" s="15">
        <v>45330.105266203704</v>
      </c>
      <c r="B6" s="16" t="s">
        <v>5</v>
      </c>
      <c r="C6" s="16" t="s">
        <v>6</v>
      </c>
      <c r="D6" s="17">
        <v>281</v>
      </c>
      <c r="E6" s="17">
        <v>50</v>
      </c>
      <c r="F6" s="18" t="str">
        <f t="shared" si="0"/>
        <v>Mangoes</v>
      </c>
      <c r="G6" s="19"/>
      <c r="I6" s="4" t="s">
        <v>7</v>
      </c>
      <c r="J6" s="22">
        <v>2518</v>
      </c>
      <c r="W6" s="8" t="s">
        <v>16</v>
      </c>
      <c r="X6" s="25">
        <v>0.18758236930736566</v>
      </c>
    </row>
    <row r="7" spans="1:24" ht="15" thickBot="1" x14ac:dyDescent="0.35">
      <c r="A7" s="15">
        <v>45339.631574074076</v>
      </c>
      <c r="B7" s="16" t="s">
        <v>5</v>
      </c>
      <c r="C7" s="16" t="s">
        <v>8</v>
      </c>
      <c r="D7" s="17">
        <v>334</v>
      </c>
      <c r="E7" s="17">
        <v>52</v>
      </c>
      <c r="F7" s="18" t="str">
        <f t="shared" si="0"/>
        <v>Oranges</v>
      </c>
      <c r="G7" s="19"/>
      <c r="I7" s="4" t="s">
        <v>10</v>
      </c>
      <c r="J7" s="22">
        <v>467</v>
      </c>
      <c r="W7" s="8" t="s">
        <v>19</v>
      </c>
      <c r="X7" s="25">
        <v>0.16913164445746082</v>
      </c>
    </row>
    <row r="8" spans="1:24" ht="15" thickBot="1" x14ac:dyDescent="0.35">
      <c r="A8" s="15">
        <v>45349.157893518517</v>
      </c>
      <c r="B8" s="16" t="s">
        <v>7</v>
      </c>
      <c r="C8" s="16" t="s">
        <v>9</v>
      </c>
      <c r="D8" s="17">
        <v>417</v>
      </c>
      <c r="E8" s="17">
        <v>29</v>
      </c>
      <c r="F8" s="18" t="str">
        <f t="shared" si="0"/>
        <v>Fruits</v>
      </c>
      <c r="G8" s="19"/>
      <c r="I8" s="4" t="s">
        <v>11</v>
      </c>
      <c r="J8" s="22">
        <v>347</v>
      </c>
      <c r="W8" s="8" t="s">
        <v>21</v>
      </c>
      <c r="X8" s="25">
        <v>0.16356714013764825</v>
      </c>
    </row>
    <row r="9" spans="1:24" ht="15" thickBot="1" x14ac:dyDescent="0.35">
      <c r="A9" s="15">
        <v>45358.684212962966</v>
      </c>
      <c r="B9" s="16" t="s">
        <v>5</v>
      </c>
      <c r="C9" s="16" t="s">
        <v>9</v>
      </c>
      <c r="D9" s="17">
        <v>441</v>
      </c>
      <c r="E9" s="17">
        <v>44</v>
      </c>
      <c r="F9" s="18" t="str">
        <f t="shared" si="0"/>
        <v>Fruits</v>
      </c>
      <c r="G9" s="19"/>
      <c r="I9" s="4" t="s">
        <v>13</v>
      </c>
      <c r="J9" s="22">
        <v>6829</v>
      </c>
      <c r="W9" s="8" t="s">
        <v>17</v>
      </c>
      <c r="X9" s="25">
        <v>0.1511202225801728</v>
      </c>
    </row>
    <row r="10" spans="1:24" ht="15" thickBot="1" x14ac:dyDescent="0.35">
      <c r="A10" s="15">
        <v>45368.210520833331</v>
      </c>
      <c r="B10" s="16" t="s">
        <v>7</v>
      </c>
      <c r="C10" s="16" t="s">
        <v>6</v>
      </c>
      <c r="D10" s="17">
        <v>76</v>
      </c>
      <c r="E10" s="17">
        <v>63</v>
      </c>
      <c r="F10" s="18" t="str">
        <f t="shared" si="0"/>
        <v>Mangoes</v>
      </c>
      <c r="G10" s="19"/>
      <c r="W10" s="8" t="s">
        <v>18</v>
      </c>
      <c r="X10" s="25">
        <v>0.14028408258895886</v>
      </c>
    </row>
    <row r="11" spans="1:24" ht="15" thickBot="1" x14ac:dyDescent="0.35">
      <c r="A11" s="15">
        <v>45377.736840277779</v>
      </c>
      <c r="B11" s="16" t="s">
        <v>5</v>
      </c>
      <c r="C11" s="16" t="s">
        <v>8</v>
      </c>
      <c r="D11" s="17">
        <v>441</v>
      </c>
      <c r="E11" s="17">
        <v>79</v>
      </c>
      <c r="F11" s="18" t="str">
        <f t="shared" si="0"/>
        <v>Oranges</v>
      </c>
      <c r="G11" s="19"/>
      <c r="W11" s="8" t="s">
        <v>13</v>
      </c>
      <c r="X11" s="25">
        <v>1</v>
      </c>
    </row>
    <row r="12" spans="1:24" ht="15" thickBot="1" x14ac:dyDescent="0.35">
      <c r="A12" s="15">
        <v>45387.263159722221</v>
      </c>
      <c r="B12" s="16" t="s">
        <v>7</v>
      </c>
      <c r="C12" s="16" t="s">
        <v>6</v>
      </c>
      <c r="D12" s="17">
        <v>205</v>
      </c>
      <c r="E12" s="17">
        <v>23</v>
      </c>
      <c r="F12" s="18" t="str">
        <f t="shared" si="0"/>
        <v>Mangoes</v>
      </c>
      <c r="G12" s="19"/>
    </row>
    <row r="13" spans="1:24" ht="15" thickBot="1" x14ac:dyDescent="0.35">
      <c r="A13" s="15">
        <v>45396.789479166669</v>
      </c>
      <c r="B13" s="16" t="s">
        <v>5</v>
      </c>
      <c r="C13" s="16" t="s">
        <v>8</v>
      </c>
      <c r="D13" s="17">
        <v>483</v>
      </c>
      <c r="E13" s="17">
        <v>97</v>
      </c>
      <c r="F13" s="18" t="str">
        <f t="shared" si="0"/>
        <v>Oranges</v>
      </c>
      <c r="G13" s="19"/>
    </row>
    <row r="14" spans="1:24" ht="15" thickBot="1" x14ac:dyDescent="0.35">
      <c r="A14" s="15">
        <v>45406.315787037034</v>
      </c>
      <c r="B14" s="16" t="s">
        <v>10</v>
      </c>
      <c r="C14" s="16" t="s">
        <v>6</v>
      </c>
      <c r="D14" s="17">
        <v>467</v>
      </c>
      <c r="E14" s="17">
        <v>97</v>
      </c>
      <c r="F14" s="18" t="str">
        <f t="shared" si="0"/>
        <v>Mangoes</v>
      </c>
      <c r="G14" s="19"/>
    </row>
    <row r="15" spans="1:24" ht="18.600000000000001" thickBot="1" x14ac:dyDescent="0.4">
      <c r="A15" s="15">
        <v>45415.842106481483</v>
      </c>
      <c r="B15" s="16" t="s">
        <v>5</v>
      </c>
      <c r="C15" s="16" t="s">
        <v>6</v>
      </c>
      <c r="D15" s="17">
        <v>380</v>
      </c>
      <c r="E15" s="17">
        <v>92</v>
      </c>
      <c r="F15" s="18" t="str">
        <f t="shared" si="0"/>
        <v>Mangoes</v>
      </c>
      <c r="G15" s="19"/>
      <c r="V15" s="20" t="s">
        <v>30</v>
      </c>
      <c r="W15" s="5" t="s">
        <v>29</v>
      </c>
      <c r="X15" s="5"/>
    </row>
    <row r="16" spans="1:24" ht="15" thickBot="1" x14ac:dyDescent="0.35">
      <c r="A16" s="15">
        <v>45425.368425925924</v>
      </c>
      <c r="B16" s="16" t="s">
        <v>7</v>
      </c>
      <c r="C16" s="16" t="s">
        <v>8</v>
      </c>
      <c r="D16" s="17">
        <v>497</v>
      </c>
      <c r="E16" s="17">
        <v>71</v>
      </c>
      <c r="F16" s="18" t="str">
        <f t="shared" si="0"/>
        <v>Oranges</v>
      </c>
      <c r="G16" s="19"/>
    </row>
    <row r="17" spans="1:25" ht="15" thickBot="1" x14ac:dyDescent="0.35">
      <c r="A17" s="15">
        <v>45434.894733796296</v>
      </c>
      <c r="B17" s="16" t="s">
        <v>7</v>
      </c>
      <c r="C17" s="16" t="s">
        <v>6</v>
      </c>
      <c r="D17" s="17">
        <v>409</v>
      </c>
      <c r="E17" s="17">
        <v>81</v>
      </c>
      <c r="F17" s="18" t="str">
        <f t="shared" si="0"/>
        <v>Mangoes</v>
      </c>
      <c r="G17" s="19"/>
      <c r="H17" s="20" t="s">
        <v>23</v>
      </c>
      <c r="I17" s="6" t="s">
        <v>24</v>
      </c>
      <c r="J17" s="6"/>
      <c r="W17" s="7" t="s">
        <v>15</v>
      </c>
      <c r="X17" t="s">
        <v>12</v>
      </c>
      <c r="Y17"/>
    </row>
    <row r="18" spans="1:25" ht="15" thickBot="1" x14ac:dyDescent="0.35">
      <c r="A18" s="15">
        <v>45444.421053240738</v>
      </c>
      <c r="B18" s="16" t="s">
        <v>5</v>
      </c>
      <c r="C18" s="16" t="s">
        <v>8</v>
      </c>
      <c r="D18" s="17">
        <v>53</v>
      </c>
      <c r="E18" s="17">
        <v>45</v>
      </c>
      <c r="F18" s="18" t="str">
        <f t="shared" si="0"/>
        <v>Oranges</v>
      </c>
      <c r="G18" s="19"/>
      <c r="W18" s="8" t="s">
        <v>28</v>
      </c>
      <c r="X18" s="9">
        <v>1805</v>
      </c>
      <c r="Y18"/>
    </row>
    <row r="19" spans="1:25" ht="15" thickBot="1" x14ac:dyDescent="0.35">
      <c r="A19" s="15">
        <v>45453.947372685187</v>
      </c>
      <c r="B19" s="16" t="s">
        <v>5</v>
      </c>
      <c r="C19" s="16" t="s">
        <v>9</v>
      </c>
      <c r="D19" s="17">
        <v>398</v>
      </c>
      <c r="E19" s="17">
        <v>33</v>
      </c>
      <c r="F19" s="18" t="str">
        <f t="shared" si="0"/>
        <v>Fruits</v>
      </c>
      <c r="G19" s="19"/>
      <c r="I19" s="3" t="s">
        <v>15</v>
      </c>
      <c r="J19" s="2" t="s">
        <v>12</v>
      </c>
      <c r="W19" s="8" t="s">
        <v>6</v>
      </c>
      <c r="X19" s="9">
        <v>2521</v>
      </c>
      <c r="Y19"/>
    </row>
    <row r="20" spans="1:25" ht="15" thickBot="1" x14ac:dyDescent="0.35">
      <c r="A20" s="15">
        <v>45463.473680555559</v>
      </c>
      <c r="B20" s="16" t="s">
        <v>11</v>
      </c>
      <c r="C20" s="16" t="s">
        <v>8</v>
      </c>
      <c r="D20" s="17">
        <v>347</v>
      </c>
      <c r="E20" s="17">
        <v>35</v>
      </c>
      <c r="F20" s="18" t="str">
        <f t="shared" si="0"/>
        <v>Oranges</v>
      </c>
      <c r="G20" s="19"/>
      <c r="I20" s="2" t="s">
        <v>16</v>
      </c>
      <c r="J20" s="2">
        <v>1281</v>
      </c>
      <c r="W20" s="8" t="s">
        <v>8</v>
      </c>
      <c r="X20" s="9">
        <v>2503</v>
      </c>
      <c r="Y20"/>
    </row>
    <row r="21" spans="1:25" ht="15" thickBot="1" x14ac:dyDescent="0.35">
      <c r="A21" s="15">
        <v>45473</v>
      </c>
      <c r="B21" s="16" t="s">
        <v>7</v>
      </c>
      <c r="C21" s="16" t="s">
        <v>9</v>
      </c>
      <c r="D21" s="17">
        <v>319</v>
      </c>
      <c r="E21" s="17">
        <v>45</v>
      </c>
      <c r="F21" s="18" t="str">
        <f t="shared" si="0"/>
        <v>Fruits</v>
      </c>
      <c r="G21" s="19"/>
      <c r="I21" s="2" t="s">
        <v>17</v>
      </c>
      <c r="J21" s="2">
        <v>1032</v>
      </c>
      <c r="W21" s="8" t="s">
        <v>13</v>
      </c>
      <c r="X21" s="9">
        <v>6829</v>
      </c>
      <c r="Y21"/>
    </row>
    <row r="22" spans="1:25" x14ac:dyDescent="0.3">
      <c r="I22" s="2" t="s">
        <v>18</v>
      </c>
      <c r="J22" s="2">
        <v>958</v>
      </c>
      <c r="W22"/>
      <c r="X22"/>
      <c r="Y22"/>
    </row>
    <row r="23" spans="1:25" x14ac:dyDescent="0.3">
      <c r="I23" s="2" t="s">
        <v>19</v>
      </c>
      <c r="J23" s="2">
        <v>1155</v>
      </c>
      <c r="W23"/>
      <c r="X23"/>
      <c r="Y23"/>
    </row>
    <row r="24" spans="1:25" x14ac:dyDescent="0.3">
      <c r="I24" s="2" t="s">
        <v>20</v>
      </c>
      <c r="J24" s="2">
        <v>1286</v>
      </c>
      <c r="W24"/>
      <c r="X24"/>
      <c r="Y24"/>
    </row>
    <row r="25" spans="1:25" x14ac:dyDescent="0.3">
      <c r="I25" s="2" t="s">
        <v>21</v>
      </c>
      <c r="J25" s="2">
        <v>1117</v>
      </c>
      <c r="W25"/>
      <c r="X25"/>
      <c r="Y25"/>
    </row>
    <row r="26" spans="1:25" x14ac:dyDescent="0.3">
      <c r="I26" s="1" t="s">
        <v>13</v>
      </c>
      <c r="J26" s="1">
        <v>6829</v>
      </c>
      <c r="W26"/>
      <c r="X26"/>
      <c r="Y26"/>
    </row>
    <row r="27" spans="1:25" x14ac:dyDescent="0.3">
      <c r="W27"/>
      <c r="X27"/>
      <c r="Y27"/>
    </row>
    <row r="28" spans="1:25" x14ac:dyDescent="0.3">
      <c r="W28"/>
      <c r="X28"/>
      <c r="Y28"/>
    </row>
    <row r="29" spans="1:25" x14ac:dyDescent="0.3">
      <c r="W29"/>
      <c r="X29"/>
      <c r="Y29"/>
    </row>
    <row r="30" spans="1:25" x14ac:dyDescent="0.3">
      <c r="W30"/>
      <c r="X30"/>
      <c r="Y30"/>
    </row>
    <row r="31" spans="1:25" x14ac:dyDescent="0.3">
      <c r="W31"/>
      <c r="X31"/>
      <c r="Y31"/>
    </row>
    <row r="32" spans="1:25" x14ac:dyDescent="0.3">
      <c r="W32"/>
      <c r="X32"/>
      <c r="Y32"/>
    </row>
    <row r="33" spans="23:25" x14ac:dyDescent="0.3">
      <c r="W33"/>
      <c r="X33"/>
      <c r="Y33"/>
    </row>
    <row r="34" spans="23:25" x14ac:dyDescent="0.3">
      <c r="W34"/>
      <c r="X34"/>
      <c r="Y34"/>
    </row>
  </sheetData>
  <mergeCells count="4">
    <mergeCell ref="I2:J2"/>
    <mergeCell ref="I17:J17"/>
    <mergeCell ref="W2:X2"/>
    <mergeCell ref="W15:X15"/>
  </mergeCells>
  <conditionalFormatting sqref="D2:D21">
    <cfRule type="cellIs" dxfId="21" priority="1" operator="greaterThan">
      <formula>400</formula>
    </cfRule>
  </conditionalFormatting>
  <pageMargins left="0.7" right="0.7" top="0.75" bottom="0.75" header="0.3" footer="0.3"/>
  <drawing r:id="rId5"/>
  <legacy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Manchanda</dc:creator>
  <cp:lastModifiedBy>Shivam Manchanda</cp:lastModifiedBy>
  <dcterms:created xsi:type="dcterms:W3CDTF">2025-11-15T16:13:12Z</dcterms:created>
  <dcterms:modified xsi:type="dcterms:W3CDTF">2025-11-26T18:53:23Z</dcterms:modified>
</cp:coreProperties>
</file>